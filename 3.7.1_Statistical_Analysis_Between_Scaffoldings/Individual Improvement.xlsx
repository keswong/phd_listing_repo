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ter\Desktop\PhD Thesis\"/>
    </mc:Choice>
  </mc:AlternateContent>
  <xr:revisionPtr revIDLastSave="0" documentId="13_ncr:1_{8B4CAF2A-F7E1-404D-A78B-6B573612BB81}" xr6:coauthVersionLast="47" xr6:coauthVersionMax="47" xr10:uidLastSave="{00000000-0000-0000-0000-000000000000}"/>
  <bookViews>
    <workbookView xWindow="33615" yWindow="3345" windowWidth="21600" windowHeight="11295" xr2:uid="{C3BD2890-0925-4D2D-B95B-B4550D0A9A88}"/>
  </bookViews>
  <sheets>
    <sheet name="Sheet1" sheetId="1" r:id="rId1"/>
  </sheets>
  <definedNames>
    <definedName name="_xlnm._FilterDatabase" localSheetId="0" hidden="1">Sheet1!$B$1:$B$79</definedName>
    <definedName name="_xlnm.Extract" localSheetId="0">Sheet1!$I$1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N3" i="1"/>
  <c r="M3" i="1"/>
  <c r="O2" i="1"/>
  <c r="N2" i="1"/>
  <c r="M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" i="1"/>
  <c r="J15" i="1"/>
  <c r="J18" i="1"/>
  <c r="J23" i="1"/>
  <c r="J26" i="1"/>
  <c r="E3" i="1"/>
  <c r="E4" i="1"/>
  <c r="E5" i="1"/>
  <c r="J3" i="1" s="1"/>
  <c r="E6" i="1"/>
  <c r="E7" i="1"/>
  <c r="E8" i="1"/>
  <c r="J4" i="1" s="1"/>
  <c r="E9" i="1"/>
  <c r="E10" i="1"/>
  <c r="E11" i="1"/>
  <c r="J5" i="1" s="1"/>
  <c r="E12" i="1"/>
  <c r="E13" i="1"/>
  <c r="E14" i="1"/>
  <c r="J6" i="1" s="1"/>
  <c r="E15" i="1"/>
  <c r="E16" i="1"/>
  <c r="E17" i="1"/>
  <c r="J7" i="1" s="1"/>
  <c r="E18" i="1"/>
  <c r="E19" i="1"/>
  <c r="E20" i="1"/>
  <c r="J8" i="1" s="1"/>
  <c r="E21" i="1"/>
  <c r="E22" i="1"/>
  <c r="E23" i="1"/>
  <c r="J9" i="1" s="1"/>
  <c r="E24" i="1"/>
  <c r="E25" i="1"/>
  <c r="E26" i="1"/>
  <c r="J10" i="1" s="1"/>
  <c r="E27" i="1"/>
  <c r="E28" i="1"/>
  <c r="E29" i="1"/>
  <c r="J11" i="1" s="1"/>
  <c r="E30" i="1"/>
  <c r="E31" i="1"/>
  <c r="E32" i="1"/>
  <c r="J12" i="1" s="1"/>
  <c r="E33" i="1"/>
  <c r="E34" i="1"/>
  <c r="E35" i="1"/>
  <c r="J13" i="1" s="1"/>
  <c r="E36" i="1"/>
  <c r="E37" i="1"/>
  <c r="E38" i="1"/>
  <c r="J14" i="1" s="1"/>
  <c r="E39" i="1"/>
  <c r="E40" i="1"/>
  <c r="E41" i="1"/>
  <c r="E42" i="1"/>
  <c r="E43" i="1"/>
  <c r="E44" i="1"/>
  <c r="J16" i="1" s="1"/>
  <c r="E45" i="1"/>
  <c r="E46" i="1"/>
  <c r="E47" i="1"/>
  <c r="J17" i="1" s="1"/>
  <c r="E48" i="1"/>
  <c r="E49" i="1"/>
  <c r="E50" i="1"/>
  <c r="E51" i="1"/>
  <c r="E52" i="1"/>
  <c r="E53" i="1"/>
  <c r="J19" i="1" s="1"/>
  <c r="E54" i="1"/>
  <c r="E55" i="1"/>
  <c r="E56" i="1"/>
  <c r="J20" i="1" s="1"/>
  <c r="E57" i="1"/>
  <c r="E58" i="1"/>
  <c r="E59" i="1"/>
  <c r="J21" i="1" s="1"/>
  <c r="E60" i="1"/>
  <c r="E61" i="1"/>
  <c r="E62" i="1"/>
  <c r="J22" i="1" s="1"/>
  <c r="E63" i="1"/>
  <c r="E64" i="1"/>
  <c r="E65" i="1"/>
  <c r="E66" i="1"/>
  <c r="E67" i="1"/>
  <c r="E68" i="1"/>
  <c r="E69" i="1"/>
  <c r="J24" i="1" s="1"/>
  <c r="E70" i="1"/>
  <c r="E71" i="1"/>
  <c r="J25" i="1" s="1"/>
  <c r="E72" i="1"/>
  <c r="E73" i="1"/>
  <c r="E74" i="1"/>
  <c r="E75" i="1"/>
  <c r="E76" i="1"/>
  <c r="E77" i="1"/>
  <c r="J27" i="1" s="1"/>
  <c r="E78" i="1"/>
  <c r="E79" i="1"/>
  <c r="E2" i="1"/>
  <c r="J2" i="1" s="1"/>
</calcChain>
</file>

<file path=xl/sharedStrings.xml><?xml version="1.0" encoding="utf-8"?>
<sst xmlns="http://schemas.openxmlformats.org/spreadsheetml/2006/main" count="283" uniqueCount="114">
  <si>
    <t>STUDENT_INDEX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</si>
  <si>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</si>
  <si>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</si>
  <si>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</si>
  <si>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</si>
  <si>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</si>
  <si>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</si>
  <si>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</si>
  <si>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</si>
  <si>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</si>
  <si>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</si>
  <si>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</si>
  <si>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</si>
  <si>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</si>
  <si>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</si>
  <si>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</si>
  <si>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</si>
  <si>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</si>
  <si>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</si>
  <si>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</si>
  <si>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</si>
  <si>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</si>
  <si>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</si>
  <si>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</si>
  <si>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</si>
  <si>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</si>
  <si>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</si>
  <si>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</si>
  <si>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</si>
  <si>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</si>
  <si>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</si>
  <si>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</si>
  <si>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</si>
  <si>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</si>
  <si>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</si>
  <si>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</si>
  <si>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</si>
  <si>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</si>
  <si>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</si>
  <si>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</si>
  <si>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</si>
  <si>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</si>
  <si>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</si>
  <si>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</si>
  <si>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</si>
  <si>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</si>
  <si>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</si>
  <si>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</si>
  <si>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</si>
  <si>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</si>
  <si>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</si>
  <si>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</si>
  <si>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</si>
  <si>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</si>
  <si>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</si>
  <si>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</si>
  <si>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</si>
  <si>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</si>
  <si>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</si>
  <si>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</si>
  <si>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</si>
  <si>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</si>
  <si>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</si>
  <si>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</si>
  <si>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</si>
  <si>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</si>
  <si>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</si>
  <si>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</si>
  <si>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</si>
  <si>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</si>
  <si>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</si>
  <si>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</si>
  <si>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</si>
  <si>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</si>
  <si>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</si>
  <si>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</si>
  <si>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</si>
  <si>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</si>
  <si>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</si>
  <si>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Group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</si>
  <si>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</si>
  <si>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</si>
  <si>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</si>
  <si>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</si>
  <si>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</si>
  <si>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</si>
  <si>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</si>
  <si>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</si>
  <si>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</si>
  <si>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</si>
  <si>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</si>
  <si>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</si>
  <si>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</si>
  <si>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</si>
  <si>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</si>
  <si>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</si>
  <si>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</si>
  <si>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</si>
  <si>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</si>
  <si>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</si>
  <si>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</si>
  <si>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</si>
  <si>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</si>
  <si>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</si>
  <si>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</si>
  <si>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</si>
  <si>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Pretest</t>
  </si>
  <si>
    <t>Posttest</t>
  </si>
  <si>
    <t>Performance Improvement</t>
  </si>
  <si>
    <t>-</t>
  </si>
  <si>
    <t>Intervention</t>
  </si>
  <si>
    <t>Minimal</t>
  </si>
  <si>
    <t>Maximal</t>
  </si>
  <si>
    <t>triads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</si>
</sst>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2CBB-3FD9-4679-B705-203145381AC8}">
  <dimension ref="A1:O79"/>
  <sheetViews>
    <sheetView tabSelected="1" zoomScale="70" zoomScaleNormal="70" workbookViewId="0">
      <selection activeCell="T6" sqref="T6"/>
    </sheetView>
  </sheetViews>
  <sheetFormatPr defaultRowHeight="15" x14ac:dyDescent="0.25"/>
  <cols>
    <col min="1" max="1" width="18.140625" bestFit="1" customWidth="1"/>
    <col min="4" max="4" width="9.140625" style="1"/>
    <col min="5" max="5" width="24.7109375" bestFit="1" customWidth="1"/>
    <col min="6" max="6" width="15.28515625" bestFit="1" customWidth="1"/>
  </cols>
  <sheetData>
    <row r="1" spans="1:15" x14ac:dyDescent="0.25">
      <c r="A1" t="s">
        <v>0</v>
      </c>
      <c r="B1" t="s">
        <v>79</v>
      </c>
      <c r="C1" t="s">
        <v>106</v>
      </c>
      <c r="D1" s="1" t="s">
        <v>107</v>
      </c>
      <c r="E1" t="s">
        <v>108</v>
      </c>
      <c r="F1" s="2" t="s">
        <v>110</v>
      </c>
      <c r="I1" t="s">
        <v>79</v>
      </c>
      <c r="L1" t="s">
        <v>113</v>
      </c>
      <c r="M1">
        <v>1</v>
      </c>
      <c r="N1">
        <v>2</v>
      </c>
      <c r="O1">
        <v>3</v>
      </c>
    </row>
    <row r="2" spans="1:15" x14ac:dyDescent="0.25">
      <c r="A2" t="s">
        <v>1</v>
      </c>
      <c r="B2" t="s">
        <v>80</v>
      </c>
      <c r="C2">
        <v>0</v>
      </c>
      <c r="D2" s="1" t="s">
        <v>109</v>
      </c>
      <c r="E2" t="e">
        <f>D2-C2</f>
        <v>#VALUE!</v>
      </c>
      <c r="F2" s="3" t="s">
        <v>112</v>
      </c>
      <c r="H2" t="str">
        <f>_xlfn.XLOOKUP(I2,B:B,F:F)</f>
        <v>Maximal</v>
      </c>
      <c r="I2" t="s">
        <v>80</v>
      </c>
      <c r="J2">
        <f>COUNTIFS(B:B,I2,E:E,"&gt;=0")</f>
        <v>1</v>
      </c>
      <c r="L2" t="s">
        <v>111</v>
      </c>
      <c r="M2">
        <f>COUNTIFS(H:H,L2,J:J,M1)</f>
        <v>1</v>
      </c>
      <c r="N2">
        <f>COUNTIFS(H:H,L2,J:J,N1)</f>
        <v>2</v>
      </c>
      <c r="O2">
        <f>COUNTIFS(H:H,L2,J:J,O1)</f>
        <v>10</v>
      </c>
    </row>
    <row r="3" spans="1:15" x14ac:dyDescent="0.25">
      <c r="A3" t="s">
        <v>2</v>
      </c>
      <c r="B3" t="s">
        <v>80</v>
      </c>
      <c r="C3">
        <v>0</v>
      </c>
      <c r="D3" s="1" t="s">
        <v>109</v>
      </c>
      <c r="E3" t="e">
        <f t="shared" ref="E3:E66" si="0">D3-C3</f>
        <v>#VALUE!</v>
      </c>
      <c r="F3" s="3" t="s">
        <v>112</v>
      </c>
      <c r="H3" t="str">
        <f t="shared" ref="H3:H27" si="1">_xlfn.XLOOKUP(I3,B:B,F:F)</f>
        <v>Maximal</v>
      </c>
      <c r="I3" t="s">
        <v>81</v>
      </c>
      <c r="J3">
        <f t="shared" ref="J3:J27" si="2">COUNTIFS(B:B,I3,E:E,"&gt;=0")</f>
        <v>3</v>
      </c>
      <c r="L3" t="s">
        <v>112</v>
      </c>
      <c r="M3">
        <f>COUNTIFS(H:H,L3,J:J,M1)</f>
        <v>2</v>
      </c>
      <c r="N3">
        <f>COUNTIFS(H:H,L3,J:J,N1)</f>
        <v>5</v>
      </c>
      <c r="O3">
        <f>COUNTIFS(H:H,L3,J:J,O1)</f>
        <v>6</v>
      </c>
    </row>
    <row r="4" spans="1:15" x14ac:dyDescent="0.25">
      <c r="A4" t="s">
        <v>3</v>
      </c>
      <c r="B4" t="s">
        <v>80</v>
      </c>
      <c r="C4">
        <v>0</v>
      </c>
      <c r="D4" s="1">
        <v>3</v>
      </c>
      <c r="E4">
        <f t="shared" si="0"/>
        <v>3</v>
      </c>
      <c r="F4" s="3" t="s">
        <v>112</v>
      </c>
      <c r="H4" t="str">
        <f t="shared" si="1"/>
        <v>Minimal</v>
      </c>
      <c r="I4" t="s">
        <v>82</v>
      </c>
      <c r="J4">
        <f t="shared" si="2"/>
        <v>3</v>
      </c>
    </row>
    <row r="5" spans="1:15" x14ac:dyDescent="0.25">
      <c r="A5" t="s">
        <v>4</v>
      </c>
      <c r="B5" t="s">
        <v>81</v>
      </c>
      <c r="C5">
        <v>0</v>
      </c>
      <c r="D5" s="1">
        <v>0</v>
      </c>
      <c r="E5">
        <f t="shared" si="0"/>
        <v>0</v>
      </c>
      <c r="F5" s="3" t="s">
        <v>112</v>
      </c>
      <c r="H5" t="str">
        <f t="shared" si="1"/>
        <v>Minimal</v>
      </c>
      <c r="I5" t="s">
        <v>83</v>
      </c>
      <c r="J5">
        <f t="shared" si="2"/>
        <v>3</v>
      </c>
    </row>
    <row r="6" spans="1:15" x14ac:dyDescent="0.25">
      <c r="A6" t="s">
        <v>5</v>
      </c>
      <c r="B6" t="s">
        <v>81</v>
      </c>
      <c r="C6">
        <v>0</v>
      </c>
      <c r="D6" s="1">
        <v>1</v>
      </c>
      <c r="E6">
        <f t="shared" si="0"/>
        <v>1</v>
      </c>
      <c r="F6" s="3" t="s">
        <v>112</v>
      </c>
      <c r="H6" t="str">
        <f t="shared" si="1"/>
        <v>Minimal</v>
      </c>
      <c r="I6" t="s">
        <v>84</v>
      </c>
      <c r="J6">
        <f t="shared" si="2"/>
        <v>1</v>
      </c>
    </row>
    <row r="7" spans="1:15" x14ac:dyDescent="0.25">
      <c r="A7" t="s">
        <v>6</v>
      </c>
      <c r="B7" t="s">
        <v>81</v>
      </c>
      <c r="C7">
        <v>0</v>
      </c>
      <c r="D7" s="1">
        <v>2</v>
      </c>
      <c r="E7">
        <f t="shared" si="0"/>
        <v>2</v>
      </c>
      <c r="F7" s="3" t="s">
        <v>112</v>
      </c>
      <c r="H7" t="str">
        <f t="shared" si="1"/>
        <v>Maximal</v>
      </c>
      <c r="I7" t="s">
        <v>85</v>
      </c>
      <c r="J7">
        <f t="shared" si="2"/>
        <v>2</v>
      </c>
    </row>
    <row r="8" spans="1:15" x14ac:dyDescent="0.25">
      <c r="A8" t="s">
        <v>7</v>
      </c>
      <c r="B8" t="s">
        <v>82</v>
      </c>
      <c r="C8">
        <v>0</v>
      </c>
      <c r="D8" s="1">
        <v>0</v>
      </c>
      <c r="E8">
        <f t="shared" si="0"/>
        <v>0</v>
      </c>
      <c r="F8" s="3" t="s">
        <v>111</v>
      </c>
      <c r="H8" t="str">
        <f t="shared" si="1"/>
        <v>Maximal</v>
      </c>
      <c r="I8" t="s">
        <v>86</v>
      </c>
      <c r="J8">
        <f t="shared" si="2"/>
        <v>2</v>
      </c>
    </row>
    <row r="9" spans="1:15" x14ac:dyDescent="0.25">
      <c r="A9" t="s">
        <v>8</v>
      </c>
      <c r="B9" t="s">
        <v>82</v>
      </c>
      <c r="C9">
        <v>0</v>
      </c>
      <c r="D9" s="1">
        <v>0</v>
      </c>
      <c r="E9">
        <f t="shared" si="0"/>
        <v>0</v>
      </c>
      <c r="F9" s="3" t="s">
        <v>111</v>
      </c>
      <c r="H9" t="str">
        <f t="shared" si="1"/>
        <v>Minimal</v>
      </c>
      <c r="I9" t="s">
        <v>87</v>
      </c>
      <c r="J9">
        <f t="shared" si="2"/>
        <v>3</v>
      </c>
    </row>
    <row r="10" spans="1:15" x14ac:dyDescent="0.25">
      <c r="A10" t="s">
        <v>9</v>
      </c>
      <c r="B10" t="s">
        <v>82</v>
      </c>
      <c r="C10">
        <v>0</v>
      </c>
      <c r="D10" s="1">
        <v>4</v>
      </c>
      <c r="E10">
        <f t="shared" si="0"/>
        <v>4</v>
      </c>
      <c r="F10" s="3" t="s">
        <v>111</v>
      </c>
      <c r="H10" t="str">
        <f t="shared" si="1"/>
        <v>Minimal</v>
      </c>
      <c r="I10" t="s">
        <v>88</v>
      </c>
      <c r="J10">
        <f t="shared" si="2"/>
        <v>3</v>
      </c>
    </row>
    <row r="11" spans="1:15" x14ac:dyDescent="0.25">
      <c r="A11" t="s">
        <v>10</v>
      </c>
      <c r="B11" t="s">
        <v>83</v>
      </c>
      <c r="C11">
        <v>0</v>
      </c>
      <c r="D11" s="1">
        <v>0</v>
      </c>
      <c r="E11">
        <f t="shared" si="0"/>
        <v>0</v>
      </c>
      <c r="F11" s="3" t="s">
        <v>111</v>
      </c>
      <c r="H11" t="str">
        <f t="shared" si="1"/>
        <v>Maximal</v>
      </c>
      <c r="I11" t="s">
        <v>89</v>
      </c>
      <c r="J11">
        <f t="shared" si="2"/>
        <v>3</v>
      </c>
    </row>
    <row r="12" spans="1:15" x14ac:dyDescent="0.25">
      <c r="A12" t="s">
        <v>11</v>
      </c>
      <c r="B12" t="s">
        <v>83</v>
      </c>
      <c r="C12">
        <v>0</v>
      </c>
      <c r="D12" s="1">
        <v>0</v>
      </c>
      <c r="E12">
        <f t="shared" si="0"/>
        <v>0</v>
      </c>
      <c r="F12" s="3" t="s">
        <v>111</v>
      </c>
      <c r="H12" t="str">
        <f t="shared" si="1"/>
        <v>Maximal</v>
      </c>
      <c r="I12" t="s">
        <v>90</v>
      </c>
      <c r="J12">
        <f t="shared" si="2"/>
        <v>2</v>
      </c>
    </row>
    <row r="13" spans="1:15" x14ac:dyDescent="0.25">
      <c r="A13" t="s">
        <v>12</v>
      </c>
      <c r="B13" t="s">
        <v>83</v>
      </c>
      <c r="C13">
        <v>0</v>
      </c>
      <c r="D13" s="1">
        <v>0</v>
      </c>
      <c r="E13">
        <f t="shared" si="0"/>
        <v>0</v>
      </c>
      <c r="F13" s="3" t="s">
        <v>111</v>
      </c>
      <c r="H13" t="str">
        <f t="shared" si="1"/>
        <v>Minimal</v>
      </c>
      <c r="I13" t="s">
        <v>91</v>
      </c>
      <c r="J13">
        <f t="shared" si="2"/>
        <v>2</v>
      </c>
    </row>
    <row r="14" spans="1:15" x14ac:dyDescent="0.25">
      <c r="A14" t="s">
        <v>13</v>
      </c>
      <c r="B14" t="s">
        <v>84</v>
      </c>
      <c r="C14">
        <v>0</v>
      </c>
      <c r="D14" s="1" t="s">
        <v>109</v>
      </c>
      <c r="E14" t="e">
        <f t="shared" si="0"/>
        <v>#VALUE!</v>
      </c>
      <c r="F14" s="3" t="s">
        <v>111</v>
      </c>
      <c r="H14" t="str">
        <f t="shared" si="1"/>
        <v>Maximal</v>
      </c>
      <c r="I14" t="s">
        <v>92</v>
      </c>
      <c r="J14">
        <f t="shared" si="2"/>
        <v>2</v>
      </c>
    </row>
    <row r="15" spans="1:15" x14ac:dyDescent="0.25">
      <c r="A15" t="s">
        <v>14</v>
      </c>
      <c r="B15" t="s">
        <v>84</v>
      </c>
      <c r="C15">
        <v>0</v>
      </c>
      <c r="D15" s="1" t="s">
        <v>109</v>
      </c>
      <c r="E15" t="e">
        <f t="shared" si="0"/>
        <v>#VALUE!</v>
      </c>
      <c r="F15" s="3" t="s">
        <v>111</v>
      </c>
      <c r="H15" t="str">
        <f t="shared" si="1"/>
        <v>Minimal</v>
      </c>
      <c r="I15" t="s">
        <v>93</v>
      </c>
      <c r="J15">
        <f t="shared" si="2"/>
        <v>3</v>
      </c>
    </row>
    <row r="16" spans="1:15" x14ac:dyDescent="0.25">
      <c r="A16" t="s">
        <v>15</v>
      </c>
      <c r="B16" t="s">
        <v>84</v>
      </c>
      <c r="C16">
        <v>0</v>
      </c>
      <c r="D16" s="1">
        <v>0</v>
      </c>
      <c r="E16">
        <f t="shared" si="0"/>
        <v>0</v>
      </c>
      <c r="F16" s="3" t="s">
        <v>111</v>
      </c>
      <c r="H16" t="str">
        <f t="shared" si="1"/>
        <v>Maximal</v>
      </c>
      <c r="I16" t="s">
        <v>94</v>
      </c>
      <c r="J16">
        <f t="shared" si="2"/>
        <v>3</v>
      </c>
    </row>
    <row r="17" spans="1:10" x14ac:dyDescent="0.25">
      <c r="A17" t="s">
        <v>16</v>
      </c>
      <c r="B17" t="s">
        <v>85</v>
      </c>
      <c r="C17">
        <v>0</v>
      </c>
      <c r="D17" s="1">
        <v>3</v>
      </c>
      <c r="E17">
        <f t="shared" si="0"/>
        <v>3</v>
      </c>
      <c r="F17" s="3" t="s">
        <v>112</v>
      </c>
      <c r="H17" t="str">
        <f t="shared" si="1"/>
        <v>Minimal</v>
      </c>
      <c r="I17" t="s">
        <v>95</v>
      </c>
      <c r="J17">
        <f t="shared" si="2"/>
        <v>3</v>
      </c>
    </row>
    <row r="18" spans="1:10" x14ac:dyDescent="0.25">
      <c r="A18" t="s">
        <v>17</v>
      </c>
      <c r="B18" t="s">
        <v>85</v>
      </c>
      <c r="C18">
        <v>0</v>
      </c>
      <c r="D18" s="1">
        <v>0</v>
      </c>
      <c r="E18">
        <f t="shared" si="0"/>
        <v>0</v>
      </c>
      <c r="F18" s="3" t="s">
        <v>112</v>
      </c>
      <c r="H18" t="str">
        <f t="shared" si="1"/>
        <v>Minimal</v>
      </c>
      <c r="I18" t="s">
        <v>96</v>
      </c>
      <c r="J18">
        <f t="shared" si="2"/>
        <v>3</v>
      </c>
    </row>
    <row r="19" spans="1:10" x14ac:dyDescent="0.25">
      <c r="A19" t="s">
        <v>18</v>
      </c>
      <c r="B19" t="s">
        <v>85</v>
      </c>
      <c r="C19">
        <v>0</v>
      </c>
      <c r="D19" s="1" t="s">
        <v>109</v>
      </c>
      <c r="E19" t="e">
        <f t="shared" si="0"/>
        <v>#VALUE!</v>
      </c>
      <c r="F19" s="3" t="s">
        <v>112</v>
      </c>
      <c r="H19" t="str">
        <f t="shared" si="1"/>
        <v>Minimal</v>
      </c>
      <c r="I19" t="s">
        <v>97</v>
      </c>
      <c r="J19">
        <f t="shared" si="2"/>
        <v>3</v>
      </c>
    </row>
    <row r="20" spans="1:10" x14ac:dyDescent="0.25">
      <c r="A20" t="s">
        <v>19</v>
      </c>
      <c r="B20" t="s">
        <v>86</v>
      </c>
      <c r="C20">
        <v>0</v>
      </c>
      <c r="D20" s="1">
        <v>0</v>
      </c>
      <c r="E20">
        <f t="shared" si="0"/>
        <v>0</v>
      </c>
      <c r="F20" s="3" t="s">
        <v>112</v>
      </c>
      <c r="H20" t="str">
        <f t="shared" si="1"/>
        <v>Maximal</v>
      </c>
      <c r="I20" t="s">
        <v>98</v>
      </c>
      <c r="J20">
        <f t="shared" si="2"/>
        <v>1</v>
      </c>
    </row>
    <row r="21" spans="1:10" x14ac:dyDescent="0.25">
      <c r="A21" t="s">
        <v>20</v>
      </c>
      <c r="B21" t="s">
        <v>86</v>
      </c>
      <c r="C21">
        <v>0</v>
      </c>
      <c r="D21" s="1" t="s">
        <v>109</v>
      </c>
      <c r="E21" t="e">
        <f t="shared" si="0"/>
        <v>#VALUE!</v>
      </c>
      <c r="F21" s="3" t="s">
        <v>112</v>
      </c>
      <c r="H21" t="str">
        <f t="shared" si="1"/>
        <v>Minimal</v>
      </c>
      <c r="I21" t="s">
        <v>99</v>
      </c>
      <c r="J21">
        <f t="shared" si="2"/>
        <v>2</v>
      </c>
    </row>
    <row r="22" spans="1:10" x14ac:dyDescent="0.25">
      <c r="A22" t="s">
        <v>21</v>
      </c>
      <c r="B22" t="s">
        <v>86</v>
      </c>
      <c r="C22">
        <v>0</v>
      </c>
      <c r="D22" s="1">
        <v>0</v>
      </c>
      <c r="E22">
        <f t="shared" si="0"/>
        <v>0</v>
      </c>
      <c r="F22" s="3" t="s">
        <v>112</v>
      </c>
      <c r="H22" t="str">
        <f t="shared" si="1"/>
        <v>Maximal</v>
      </c>
      <c r="I22" t="s">
        <v>100</v>
      </c>
      <c r="J22">
        <f t="shared" si="2"/>
        <v>3</v>
      </c>
    </row>
    <row r="23" spans="1:10" x14ac:dyDescent="0.25">
      <c r="A23" t="s">
        <v>22</v>
      </c>
      <c r="B23" t="s">
        <v>87</v>
      </c>
      <c r="C23">
        <v>0</v>
      </c>
      <c r="D23" s="1">
        <v>0</v>
      </c>
      <c r="E23">
        <f t="shared" si="0"/>
        <v>0</v>
      </c>
      <c r="F23" s="3" t="s">
        <v>111</v>
      </c>
      <c r="H23" t="str">
        <f t="shared" si="1"/>
        <v>Maximal</v>
      </c>
      <c r="I23" t="s">
        <v>101</v>
      </c>
      <c r="J23">
        <f t="shared" si="2"/>
        <v>3</v>
      </c>
    </row>
    <row r="24" spans="1:10" x14ac:dyDescent="0.25">
      <c r="A24" t="s">
        <v>23</v>
      </c>
      <c r="B24" t="s">
        <v>87</v>
      </c>
      <c r="C24">
        <v>0</v>
      </c>
      <c r="D24" s="1">
        <v>0</v>
      </c>
      <c r="E24">
        <f t="shared" si="0"/>
        <v>0</v>
      </c>
      <c r="F24" s="3" t="s">
        <v>111</v>
      </c>
      <c r="H24" t="str">
        <f t="shared" si="1"/>
        <v>Minimal</v>
      </c>
      <c r="I24" t="s">
        <v>102</v>
      </c>
      <c r="J24">
        <f t="shared" si="2"/>
        <v>3</v>
      </c>
    </row>
    <row r="25" spans="1:10" x14ac:dyDescent="0.25">
      <c r="A25" t="s">
        <v>24</v>
      </c>
      <c r="B25" t="s">
        <v>87</v>
      </c>
      <c r="C25">
        <v>0</v>
      </c>
      <c r="D25" s="1">
        <v>0</v>
      </c>
      <c r="E25">
        <f t="shared" si="0"/>
        <v>0</v>
      </c>
      <c r="F25" s="3" t="s">
        <v>111</v>
      </c>
      <c r="H25" t="str">
        <f t="shared" si="1"/>
        <v>Maximal</v>
      </c>
      <c r="I25" t="s">
        <v>103</v>
      </c>
      <c r="J25">
        <f t="shared" si="2"/>
        <v>2</v>
      </c>
    </row>
    <row r="26" spans="1:10" x14ac:dyDescent="0.25">
      <c r="A26" t="s">
        <v>25</v>
      </c>
      <c r="B26" t="s">
        <v>88</v>
      </c>
      <c r="C26">
        <v>0</v>
      </c>
      <c r="D26" s="1">
        <v>4</v>
      </c>
      <c r="E26">
        <f t="shared" si="0"/>
        <v>4</v>
      </c>
      <c r="F26" s="3" t="s">
        <v>111</v>
      </c>
      <c r="H26" t="str">
        <f t="shared" si="1"/>
        <v>Maximal</v>
      </c>
      <c r="I26" t="s">
        <v>104</v>
      </c>
      <c r="J26">
        <f t="shared" si="2"/>
        <v>3</v>
      </c>
    </row>
    <row r="27" spans="1:10" x14ac:dyDescent="0.25">
      <c r="A27" t="s">
        <v>26</v>
      </c>
      <c r="B27" t="s">
        <v>88</v>
      </c>
      <c r="C27">
        <v>0</v>
      </c>
      <c r="D27" s="1">
        <v>0</v>
      </c>
      <c r="E27">
        <f t="shared" si="0"/>
        <v>0</v>
      </c>
      <c r="F27" s="3" t="s">
        <v>111</v>
      </c>
      <c r="H27" t="str">
        <f t="shared" si="1"/>
        <v>Minimal</v>
      </c>
      <c r="I27" t="s">
        <v>105</v>
      </c>
      <c r="J27">
        <f t="shared" si="2"/>
        <v>3</v>
      </c>
    </row>
    <row r="28" spans="1:10" x14ac:dyDescent="0.25">
      <c r="A28" t="s">
        <v>27</v>
      </c>
      <c r="B28" t="s">
        <v>88</v>
      </c>
      <c r="C28">
        <v>0</v>
      </c>
      <c r="D28" s="1">
        <v>0</v>
      </c>
      <c r="E28">
        <f t="shared" si="0"/>
        <v>0</v>
      </c>
      <c r="F28" s="3" t="s">
        <v>111</v>
      </c>
    </row>
    <row r="29" spans="1:10" x14ac:dyDescent="0.25">
      <c r="A29" t="s">
        <v>28</v>
      </c>
      <c r="B29" t="s">
        <v>89</v>
      </c>
      <c r="C29">
        <v>0</v>
      </c>
      <c r="D29" s="1">
        <v>0</v>
      </c>
      <c r="E29">
        <f t="shared" si="0"/>
        <v>0</v>
      </c>
      <c r="F29" s="3" t="s">
        <v>112</v>
      </c>
    </row>
    <row r="30" spans="1:10" x14ac:dyDescent="0.25">
      <c r="A30" t="s">
        <v>29</v>
      </c>
      <c r="B30" t="s">
        <v>89</v>
      </c>
      <c r="C30">
        <v>0</v>
      </c>
      <c r="D30" s="1">
        <v>0</v>
      </c>
      <c r="E30">
        <f t="shared" si="0"/>
        <v>0</v>
      </c>
      <c r="F30" s="3" t="s">
        <v>112</v>
      </c>
    </row>
    <row r="31" spans="1:10" x14ac:dyDescent="0.25">
      <c r="A31" t="s">
        <v>30</v>
      </c>
      <c r="B31" t="s">
        <v>89</v>
      </c>
      <c r="C31">
        <v>0</v>
      </c>
      <c r="D31" s="1">
        <v>0</v>
      </c>
      <c r="E31">
        <f t="shared" si="0"/>
        <v>0</v>
      </c>
      <c r="F31" s="3" t="s">
        <v>112</v>
      </c>
    </row>
    <row r="32" spans="1:10" x14ac:dyDescent="0.25">
      <c r="A32" t="s">
        <v>31</v>
      </c>
      <c r="B32" t="s">
        <v>90</v>
      </c>
      <c r="C32">
        <v>0</v>
      </c>
      <c r="D32" s="1" t="s">
        <v>109</v>
      </c>
      <c r="E32" t="e">
        <f t="shared" si="0"/>
        <v>#VALUE!</v>
      </c>
      <c r="F32" s="3" t="s">
        <v>112</v>
      </c>
    </row>
    <row r="33" spans="1:6" x14ac:dyDescent="0.25">
      <c r="A33" t="s">
        <v>32</v>
      </c>
      <c r="B33" t="s">
        <v>90</v>
      </c>
      <c r="C33">
        <v>0</v>
      </c>
      <c r="D33" s="1">
        <v>0</v>
      </c>
      <c r="E33">
        <f t="shared" si="0"/>
        <v>0</v>
      </c>
      <c r="F33" s="3" t="s">
        <v>112</v>
      </c>
    </row>
    <row r="34" spans="1:6" x14ac:dyDescent="0.25">
      <c r="A34" t="s">
        <v>33</v>
      </c>
      <c r="B34" t="s">
        <v>90</v>
      </c>
      <c r="C34">
        <v>0</v>
      </c>
      <c r="D34" s="1">
        <v>0</v>
      </c>
      <c r="E34">
        <f t="shared" si="0"/>
        <v>0</v>
      </c>
      <c r="F34" s="3" t="s">
        <v>112</v>
      </c>
    </row>
    <row r="35" spans="1:6" x14ac:dyDescent="0.25">
      <c r="A35" t="s">
        <v>34</v>
      </c>
      <c r="B35" t="s">
        <v>91</v>
      </c>
      <c r="C35">
        <v>0</v>
      </c>
      <c r="D35" s="1">
        <v>0</v>
      </c>
      <c r="E35">
        <f t="shared" si="0"/>
        <v>0</v>
      </c>
      <c r="F35" s="3" t="s">
        <v>111</v>
      </c>
    </row>
    <row r="36" spans="1:6" x14ac:dyDescent="0.25">
      <c r="A36" t="s">
        <v>35</v>
      </c>
      <c r="B36" t="s">
        <v>91</v>
      </c>
      <c r="C36">
        <v>0</v>
      </c>
      <c r="D36" s="1">
        <v>0</v>
      </c>
      <c r="E36">
        <f t="shared" si="0"/>
        <v>0</v>
      </c>
      <c r="F36" s="3" t="s">
        <v>111</v>
      </c>
    </row>
    <row r="37" spans="1:6" x14ac:dyDescent="0.25">
      <c r="A37" t="s">
        <v>36</v>
      </c>
      <c r="B37" t="s">
        <v>91</v>
      </c>
      <c r="C37">
        <v>0</v>
      </c>
      <c r="D37" s="1" t="s">
        <v>109</v>
      </c>
      <c r="E37" t="e">
        <f t="shared" si="0"/>
        <v>#VALUE!</v>
      </c>
      <c r="F37" s="3" t="s">
        <v>111</v>
      </c>
    </row>
    <row r="38" spans="1:6" x14ac:dyDescent="0.25">
      <c r="A38" t="s">
        <v>37</v>
      </c>
      <c r="B38" t="s">
        <v>92</v>
      </c>
      <c r="C38">
        <v>0</v>
      </c>
      <c r="D38" s="1">
        <v>0</v>
      </c>
      <c r="E38">
        <f t="shared" si="0"/>
        <v>0</v>
      </c>
      <c r="F38" s="3" t="s">
        <v>112</v>
      </c>
    </row>
    <row r="39" spans="1:6" x14ac:dyDescent="0.25">
      <c r="A39" t="s">
        <v>38</v>
      </c>
      <c r="B39" t="s">
        <v>92</v>
      </c>
      <c r="C39">
        <v>0</v>
      </c>
      <c r="D39" s="1" t="s">
        <v>109</v>
      </c>
      <c r="E39" t="e">
        <f t="shared" si="0"/>
        <v>#VALUE!</v>
      </c>
      <c r="F39" s="3" t="s">
        <v>112</v>
      </c>
    </row>
    <row r="40" spans="1:6" x14ac:dyDescent="0.25">
      <c r="A40" t="s">
        <v>39</v>
      </c>
      <c r="B40" t="s">
        <v>92</v>
      </c>
      <c r="C40">
        <v>0</v>
      </c>
      <c r="D40" s="1">
        <v>0</v>
      </c>
      <c r="E40">
        <f t="shared" si="0"/>
        <v>0</v>
      </c>
      <c r="F40" s="3" t="s">
        <v>112</v>
      </c>
    </row>
    <row r="41" spans="1:6" x14ac:dyDescent="0.25">
      <c r="A41" t="s">
        <v>40</v>
      </c>
      <c r="B41" t="s">
        <v>93</v>
      </c>
      <c r="C41">
        <v>0</v>
      </c>
      <c r="D41" s="1">
        <v>0</v>
      </c>
      <c r="E41">
        <f t="shared" si="0"/>
        <v>0</v>
      </c>
      <c r="F41" s="3" t="s">
        <v>111</v>
      </c>
    </row>
    <row r="42" spans="1:6" x14ac:dyDescent="0.25">
      <c r="A42" t="s">
        <v>41</v>
      </c>
      <c r="B42" t="s">
        <v>93</v>
      </c>
      <c r="C42">
        <v>0</v>
      </c>
      <c r="D42" s="1">
        <v>0</v>
      </c>
      <c r="E42">
        <f t="shared" si="0"/>
        <v>0</v>
      </c>
      <c r="F42" s="3" t="s">
        <v>111</v>
      </c>
    </row>
    <row r="43" spans="1:6" x14ac:dyDescent="0.25">
      <c r="A43" t="s">
        <v>42</v>
      </c>
      <c r="B43" t="s">
        <v>93</v>
      </c>
      <c r="C43">
        <v>0</v>
      </c>
      <c r="D43" s="1">
        <v>0</v>
      </c>
      <c r="E43">
        <f t="shared" si="0"/>
        <v>0</v>
      </c>
      <c r="F43" s="3" t="s">
        <v>111</v>
      </c>
    </row>
    <row r="44" spans="1:6" x14ac:dyDescent="0.25">
      <c r="A44" t="s">
        <v>43</v>
      </c>
      <c r="B44" t="s">
        <v>94</v>
      </c>
      <c r="C44">
        <v>0</v>
      </c>
      <c r="D44" s="1">
        <v>0</v>
      </c>
      <c r="E44">
        <f t="shared" si="0"/>
        <v>0</v>
      </c>
      <c r="F44" s="3" t="s">
        <v>112</v>
      </c>
    </row>
    <row r="45" spans="1:6" x14ac:dyDescent="0.25">
      <c r="A45" t="s">
        <v>44</v>
      </c>
      <c r="B45" t="s">
        <v>94</v>
      </c>
      <c r="C45">
        <v>0</v>
      </c>
      <c r="D45" s="1">
        <v>0</v>
      </c>
      <c r="E45">
        <f t="shared" si="0"/>
        <v>0</v>
      </c>
      <c r="F45" s="3" t="s">
        <v>112</v>
      </c>
    </row>
    <row r="46" spans="1:6" x14ac:dyDescent="0.25">
      <c r="A46" t="s">
        <v>45</v>
      </c>
      <c r="B46" t="s">
        <v>94</v>
      </c>
      <c r="C46">
        <v>0</v>
      </c>
      <c r="D46" s="1">
        <v>0</v>
      </c>
      <c r="E46">
        <f t="shared" si="0"/>
        <v>0</v>
      </c>
      <c r="F46" s="3" t="s">
        <v>112</v>
      </c>
    </row>
    <row r="47" spans="1:6" x14ac:dyDescent="0.25">
      <c r="A47" t="s">
        <v>46</v>
      </c>
      <c r="B47" t="s">
        <v>95</v>
      </c>
      <c r="C47">
        <v>0</v>
      </c>
      <c r="D47" s="1">
        <v>0</v>
      </c>
      <c r="E47">
        <f t="shared" si="0"/>
        <v>0</v>
      </c>
      <c r="F47" s="3" t="s">
        <v>111</v>
      </c>
    </row>
    <row r="48" spans="1:6" x14ac:dyDescent="0.25">
      <c r="A48" t="s">
        <v>47</v>
      </c>
      <c r="B48" t="s">
        <v>95</v>
      </c>
      <c r="C48">
        <v>0</v>
      </c>
      <c r="D48" s="1">
        <v>4</v>
      </c>
      <c r="E48">
        <f t="shared" si="0"/>
        <v>4</v>
      </c>
      <c r="F48" s="3" t="s">
        <v>111</v>
      </c>
    </row>
    <row r="49" spans="1:6" x14ac:dyDescent="0.25">
      <c r="A49" t="s">
        <v>48</v>
      </c>
      <c r="B49" t="s">
        <v>95</v>
      </c>
      <c r="C49">
        <v>0</v>
      </c>
      <c r="D49" s="1">
        <v>0</v>
      </c>
      <c r="E49">
        <f t="shared" si="0"/>
        <v>0</v>
      </c>
      <c r="F49" s="3" t="s">
        <v>111</v>
      </c>
    </row>
    <row r="50" spans="1:6" x14ac:dyDescent="0.25">
      <c r="A50" t="s">
        <v>49</v>
      </c>
      <c r="B50" t="s">
        <v>96</v>
      </c>
      <c r="C50">
        <v>0</v>
      </c>
      <c r="D50" s="1">
        <v>0</v>
      </c>
      <c r="E50">
        <f t="shared" si="0"/>
        <v>0</v>
      </c>
      <c r="F50" s="3" t="s">
        <v>111</v>
      </c>
    </row>
    <row r="51" spans="1:6" x14ac:dyDescent="0.25">
      <c r="A51" t="s">
        <v>50</v>
      </c>
      <c r="B51" t="s">
        <v>96</v>
      </c>
      <c r="C51">
        <v>0</v>
      </c>
      <c r="D51" s="1">
        <v>0</v>
      </c>
      <c r="E51">
        <f t="shared" si="0"/>
        <v>0</v>
      </c>
      <c r="F51" s="3" t="s">
        <v>111</v>
      </c>
    </row>
    <row r="52" spans="1:6" x14ac:dyDescent="0.25">
      <c r="A52" t="s">
        <v>51</v>
      </c>
      <c r="B52" t="s">
        <v>96</v>
      </c>
      <c r="C52">
        <v>0</v>
      </c>
      <c r="D52" s="1">
        <v>0</v>
      </c>
      <c r="E52">
        <f t="shared" si="0"/>
        <v>0</v>
      </c>
      <c r="F52" s="3" t="s">
        <v>111</v>
      </c>
    </row>
    <row r="53" spans="1:6" x14ac:dyDescent="0.25">
      <c r="A53" t="s">
        <v>52</v>
      </c>
      <c r="B53" t="s">
        <v>97</v>
      </c>
      <c r="C53">
        <v>0</v>
      </c>
      <c r="D53" s="1">
        <v>0</v>
      </c>
      <c r="E53">
        <f t="shared" si="0"/>
        <v>0</v>
      </c>
      <c r="F53" s="3" t="s">
        <v>111</v>
      </c>
    </row>
    <row r="54" spans="1:6" x14ac:dyDescent="0.25">
      <c r="A54" t="s">
        <v>53</v>
      </c>
      <c r="B54" t="s">
        <v>97</v>
      </c>
      <c r="C54">
        <v>0</v>
      </c>
      <c r="D54" s="1">
        <v>0</v>
      </c>
      <c r="E54">
        <f t="shared" si="0"/>
        <v>0</v>
      </c>
      <c r="F54" s="3" t="s">
        <v>111</v>
      </c>
    </row>
    <row r="55" spans="1:6" x14ac:dyDescent="0.25">
      <c r="A55" t="s">
        <v>54</v>
      </c>
      <c r="B55" t="s">
        <v>97</v>
      </c>
      <c r="C55">
        <v>0</v>
      </c>
      <c r="D55" s="1">
        <v>0</v>
      </c>
      <c r="E55">
        <f t="shared" si="0"/>
        <v>0</v>
      </c>
      <c r="F55" s="3" t="s">
        <v>111</v>
      </c>
    </row>
    <row r="56" spans="1:6" x14ac:dyDescent="0.25">
      <c r="A56" t="s">
        <v>55</v>
      </c>
      <c r="B56" t="s">
        <v>98</v>
      </c>
      <c r="C56">
        <v>0</v>
      </c>
      <c r="D56" s="1" t="s">
        <v>109</v>
      </c>
      <c r="E56" t="e">
        <f t="shared" si="0"/>
        <v>#VALUE!</v>
      </c>
      <c r="F56" s="3" t="s">
        <v>112</v>
      </c>
    </row>
    <row r="57" spans="1:6" x14ac:dyDescent="0.25">
      <c r="A57" t="s">
        <v>56</v>
      </c>
      <c r="B57" t="s">
        <v>98</v>
      </c>
      <c r="C57">
        <v>0</v>
      </c>
      <c r="D57" s="1">
        <v>0</v>
      </c>
      <c r="E57">
        <f t="shared" si="0"/>
        <v>0</v>
      </c>
      <c r="F57" s="3" t="s">
        <v>112</v>
      </c>
    </row>
    <row r="58" spans="1:6" x14ac:dyDescent="0.25">
      <c r="A58" t="s">
        <v>57</v>
      </c>
      <c r="B58" t="s">
        <v>98</v>
      </c>
      <c r="C58">
        <v>0</v>
      </c>
      <c r="D58" s="1" t="s">
        <v>109</v>
      </c>
      <c r="E58" t="e">
        <f t="shared" si="0"/>
        <v>#VALUE!</v>
      </c>
      <c r="F58" s="3" t="s">
        <v>112</v>
      </c>
    </row>
    <row r="59" spans="1:6" x14ac:dyDescent="0.25">
      <c r="A59" t="s">
        <v>58</v>
      </c>
      <c r="B59" t="s">
        <v>99</v>
      </c>
      <c r="C59">
        <v>0</v>
      </c>
      <c r="D59" s="1" t="s">
        <v>109</v>
      </c>
      <c r="E59" t="e">
        <f t="shared" si="0"/>
        <v>#VALUE!</v>
      </c>
      <c r="F59" s="3" t="s">
        <v>111</v>
      </c>
    </row>
    <row r="60" spans="1:6" x14ac:dyDescent="0.25">
      <c r="A60" t="s">
        <v>59</v>
      </c>
      <c r="B60" t="s">
        <v>99</v>
      </c>
      <c r="C60">
        <v>0</v>
      </c>
      <c r="D60" s="1">
        <v>0</v>
      </c>
      <c r="E60">
        <f t="shared" si="0"/>
        <v>0</v>
      </c>
      <c r="F60" s="3" t="s">
        <v>111</v>
      </c>
    </row>
    <row r="61" spans="1:6" x14ac:dyDescent="0.25">
      <c r="A61" t="s">
        <v>60</v>
      </c>
      <c r="B61" t="s">
        <v>99</v>
      </c>
      <c r="C61">
        <v>0</v>
      </c>
      <c r="D61" s="1">
        <v>0</v>
      </c>
      <c r="E61">
        <f t="shared" si="0"/>
        <v>0</v>
      </c>
      <c r="F61" s="3" t="s">
        <v>111</v>
      </c>
    </row>
    <row r="62" spans="1:6" x14ac:dyDescent="0.25">
      <c r="A62" t="s">
        <v>61</v>
      </c>
      <c r="B62" t="s">
        <v>100</v>
      </c>
      <c r="C62">
        <v>0</v>
      </c>
      <c r="D62" s="1">
        <v>0</v>
      </c>
      <c r="E62">
        <f t="shared" si="0"/>
        <v>0</v>
      </c>
      <c r="F62" s="3" t="s">
        <v>112</v>
      </c>
    </row>
    <row r="63" spans="1:6" x14ac:dyDescent="0.25">
      <c r="A63" t="s">
        <v>62</v>
      </c>
      <c r="B63" t="s">
        <v>100</v>
      </c>
      <c r="C63">
        <v>0</v>
      </c>
      <c r="D63" s="1">
        <v>0</v>
      </c>
      <c r="E63">
        <f t="shared" si="0"/>
        <v>0</v>
      </c>
      <c r="F63" s="3" t="s">
        <v>112</v>
      </c>
    </row>
    <row r="64" spans="1:6" x14ac:dyDescent="0.25">
      <c r="A64" t="s">
        <v>63</v>
      </c>
      <c r="B64" t="s">
        <v>100</v>
      </c>
      <c r="C64">
        <v>0</v>
      </c>
      <c r="D64" s="1">
        <v>0</v>
      </c>
      <c r="E64">
        <f t="shared" si="0"/>
        <v>0</v>
      </c>
      <c r="F64" s="3" t="s">
        <v>112</v>
      </c>
    </row>
    <row r="65" spans="1:6" x14ac:dyDescent="0.25">
      <c r="A65" t="s">
        <v>64</v>
      </c>
      <c r="B65" t="s">
        <v>101</v>
      </c>
      <c r="C65">
        <v>0</v>
      </c>
      <c r="D65" s="1">
        <v>1</v>
      </c>
      <c r="E65">
        <f t="shared" si="0"/>
        <v>1</v>
      </c>
      <c r="F65" s="3" t="s">
        <v>112</v>
      </c>
    </row>
    <row r="66" spans="1:6" x14ac:dyDescent="0.25">
      <c r="A66" t="s">
        <v>65</v>
      </c>
      <c r="B66" t="s">
        <v>101</v>
      </c>
      <c r="C66">
        <v>0</v>
      </c>
      <c r="D66" s="1">
        <v>1</v>
      </c>
      <c r="E66">
        <f t="shared" si="0"/>
        <v>1</v>
      </c>
      <c r="F66" s="3" t="s">
        <v>112</v>
      </c>
    </row>
    <row r="67" spans="1:6" x14ac:dyDescent="0.25">
      <c r="A67" t="s">
        <v>66</v>
      </c>
      <c r="B67" t="s">
        <v>101</v>
      </c>
      <c r="C67">
        <v>0</v>
      </c>
      <c r="D67" s="1">
        <v>4</v>
      </c>
      <c r="E67">
        <f t="shared" ref="E67:E79" si="3">D67-C67</f>
        <v>4</v>
      </c>
      <c r="F67" s="3" t="s">
        <v>112</v>
      </c>
    </row>
    <row r="68" spans="1:6" x14ac:dyDescent="0.25">
      <c r="A68" t="s">
        <v>67</v>
      </c>
      <c r="B68" t="s">
        <v>102</v>
      </c>
      <c r="C68">
        <v>0</v>
      </c>
      <c r="D68" s="1">
        <v>4</v>
      </c>
      <c r="E68">
        <f t="shared" si="3"/>
        <v>4</v>
      </c>
      <c r="F68" s="3" t="s">
        <v>111</v>
      </c>
    </row>
    <row r="69" spans="1:6" x14ac:dyDescent="0.25">
      <c r="A69" t="s">
        <v>68</v>
      </c>
      <c r="B69" t="s">
        <v>102</v>
      </c>
      <c r="C69">
        <v>0</v>
      </c>
      <c r="D69" s="1">
        <v>0</v>
      </c>
      <c r="E69">
        <f t="shared" si="3"/>
        <v>0</v>
      </c>
      <c r="F69" s="3" t="s">
        <v>111</v>
      </c>
    </row>
    <row r="70" spans="1:6" x14ac:dyDescent="0.25">
      <c r="A70" t="s">
        <v>69</v>
      </c>
      <c r="B70" t="s">
        <v>102</v>
      </c>
      <c r="C70">
        <v>0</v>
      </c>
      <c r="D70" s="1">
        <v>0</v>
      </c>
      <c r="E70">
        <f t="shared" si="3"/>
        <v>0</v>
      </c>
      <c r="F70" s="3" t="s">
        <v>111</v>
      </c>
    </row>
    <row r="71" spans="1:6" x14ac:dyDescent="0.25">
      <c r="A71" t="s">
        <v>70</v>
      </c>
      <c r="B71" t="s">
        <v>103</v>
      </c>
      <c r="C71">
        <v>0</v>
      </c>
      <c r="D71" s="1">
        <v>0</v>
      </c>
      <c r="E71">
        <f t="shared" si="3"/>
        <v>0</v>
      </c>
      <c r="F71" s="3" t="s">
        <v>112</v>
      </c>
    </row>
    <row r="72" spans="1:6" x14ac:dyDescent="0.25">
      <c r="A72" t="s">
        <v>71</v>
      </c>
      <c r="B72" t="s">
        <v>103</v>
      </c>
      <c r="C72">
        <v>0</v>
      </c>
      <c r="D72" s="1">
        <v>0</v>
      </c>
      <c r="E72">
        <f t="shared" si="3"/>
        <v>0</v>
      </c>
      <c r="F72" s="3" t="s">
        <v>112</v>
      </c>
    </row>
    <row r="73" spans="1:6" x14ac:dyDescent="0.25">
      <c r="A73" t="s">
        <v>72</v>
      </c>
      <c r="B73" t="s">
        <v>103</v>
      </c>
      <c r="C73">
        <v>0</v>
      </c>
      <c r="D73" s="1" t="s">
        <v>109</v>
      </c>
      <c r="E73" t="e">
        <f t="shared" si="3"/>
        <v>#VALUE!</v>
      </c>
      <c r="F73" s="3" t="s">
        <v>112</v>
      </c>
    </row>
    <row r="74" spans="1:6" x14ac:dyDescent="0.25">
      <c r="A74" t="s">
        <v>73</v>
      </c>
      <c r="B74" t="s">
        <v>104</v>
      </c>
      <c r="C74">
        <v>0</v>
      </c>
      <c r="D74" s="1">
        <v>4</v>
      </c>
      <c r="E74">
        <f t="shared" si="3"/>
        <v>4</v>
      </c>
      <c r="F74" s="3" t="s">
        <v>112</v>
      </c>
    </row>
    <row r="75" spans="1:6" x14ac:dyDescent="0.25">
      <c r="A75" t="s">
        <v>74</v>
      </c>
      <c r="B75" t="s">
        <v>104</v>
      </c>
      <c r="C75">
        <v>0</v>
      </c>
      <c r="D75" s="1">
        <v>4</v>
      </c>
      <c r="E75">
        <f t="shared" si="3"/>
        <v>4</v>
      </c>
      <c r="F75" s="3" t="s">
        <v>112</v>
      </c>
    </row>
    <row r="76" spans="1:6" x14ac:dyDescent="0.25">
      <c r="A76" t="s">
        <v>75</v>
      </c>
      <c r="B76" t="s">
        <v>104</v>
      </c>
      <c r="C76">
        <v>0</v>
      </c>
      <c r="D76" s="1">
        <v>2</v>
      </c>
      <c r="E76">
        <f t="shared" si="3"/>
        <v>2</v>
      </c>
      <c r="F76" s="3" t="s">
        <v>112</v>
      </c>
    </row>
    <row r="77" spans="1:6" x14ac:dyDescent="0.25">
      <c r="A77" t="s">
        <v>76</v>
      </c>
      <c r="B77" t="s">
        <v>105</v>
      </c>
      <c r="C77">
        <v>0</v>
      </c>
      <c r="D77" s="1">
        <v>0</v>
      </c>
      <c r="E77">
        <f t="shared" si="3"/>
        <v>0</v>
      </c>
      <c r="F77" s="3" t="s">
        <v>111</v>
      </c>
    </row>
    <row r="78" spans="1:6" x14ac:dyDescent="0.25">
      <c r="A78" t="s">
        <v>77</v>
      </c>
      <c r="B78" t="s">
        <v>105</v>
      </c>
      <c r="C78">
        <v>0</v>
      </c>
      <c r="D78" s="1">
        <v>0</v>
      </c>
      <c r="E78">
        <f t="shared" si="3"/>
        <v>0</v>
      </c>
      <c r="F78" s="3" t="s">
        <v>111</v>
      </c>
    </row>
    <row r="79" spans="1:6" x14ac:dyDescent="0.25">
      <c r="A79" t="s">
        <v>78</v>
      </c>
      <c r="B79" t="s">
        <v>105</v>
      </c>
      <c r="C79">
        <v>0</v>
      </c>
      <c r="D79" s="1">
        <v>0</v>
      </c>
      <c r="E79">
        <f t="shared" si="3"/>
        <v>0</v>
      </c>
      <c r="F79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Kester Wong</dc:creator>
  <cp:lastModifiedBy>Kester Wong</cp:lastModifiedBy>
  <dcterms:created xsi:type="dcterms:W3CDTF">2026-05-29T16:01:23Z</dcterms:created>
  <dcterms:modified xsi:type="dcterms:W3CDTF">2026-06-30T07:22:38Z</dcterms:modified>
</cp:coreProperties>
</file>